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neola\Google Drive\Orange HW Team 6 Fall 1\Logistic Regression\Final Project\"/>
    </mc:Choice>
  </mc:AlternateContent>
  <bookViews>
    <workbookView xWindow="0" yWindow="0" windowWidth="19200" windowHeight="8235"/>
  </bookViews>
  <sheets>
    <sheet name="Engineering Firms" sheetId="4" r:id="rId1"/>
    <sheet name="FirmA" sheetId="1" state="hidden" r:id="rId2"/>
    <sheet name="FirmB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1" l="1"/>
  <c r="G4" i="1"/>
  <c r="G3" i="1"/>
  <c r="J1" i="3" l="1"/>
  <c r="J10" i="3"/>
  <c r="J22" i="3"/>
  <c r="F22" i="3" l="1"/>
  <c r="G22" i="3"/>
  <c r="G24" i="3"/>
  <c r="E23" i="3"/>
  <c r="G23" i="3" s="1"/>
  <c r="E24" i="3"/>
  <c r="E25" i="3"/>
  <c r="G25" i="3" s="1"/>
  <c r="E22" i="3"/>
  <c r="E18" i="3"/>
  <c r="G18" i="3" s="1"/>
  <c r="F19" i="3"/>
  <c r="F20" i="3"/>
  <c r="F21" i="3"/>
  <c r="F18" i="3"/>
  <c r="F15" i="3"/>
  <c r="F16" i="3"/>
  <c r="F17" i="3"/>
  <c r="F14" i="3"/>
  <c r="E19" i="3"/>
  <c r="G19" i="3" s="1"/>
  <c r="E20" i="3"/>
  <c r="G20" i="3" s="1"/>
  <c r="E21" i="3"/>
  <c r="G21" i="3" s="1"/>
  <c r="E15" i="3"/>
  <c r="E16" i="3"/>
  <c r="E17" i="3"/>
  <c r="E14" i="3"/>
  <c r="G14" i="3" s="1"/>
  <c r="E13" i="3"/>
  <c r="E11" i="3"/>
  <c r="E12" i="3"/>
  <c r="G13" i="3"/>
  <c r="E10" i="3"/>
  <c r="G11" i="3"/>
  <c r="G12" i="3"/>
  <c r="G16" i="3"/>
  <c r="F10" i="3"/>
  <c r="F11" i="3"/>
  <c r="F12" i="3"/>
  <c r="F13" i="3"/>
  <c r="F7" i="3"/>
  <c r="G7" i="3" s="1"/>
  <c r="J4" i="3" s="1"/>
  <c r="E7" i="3"/>
  <c r="E6" i="3"/>
  <c r="E8" i="3"/>
  <c r="E9" i="3"/>
  <c r="G9" i="3" s="1"/>
  <c r="F6" i="3"/>
  <c r="G6" i="3"/>
  <c r="G8" i="3"/>
  <c r="F8" i="3"/>
  <c r="F9" i="3"/>
  <c r="C11" i="1"/>
  <c r="C9" i="1"/>
  <c r="J7" i="3" l="1"/>
  <c r="G17" i="3"/>
  <c r="J8" i="3"/>
  <c r="G10" i="3"/>
  <c r="J5" i="3" s="1"/>
  <c r="G15" i="3"/>
  <c r="J6" i="3" s="1"/>
  <c r="J5" i="1"/>
  <c r="K6" i="1" s="1"/>
  <c r="J3" i="1"/>
  <c r="J2" i="1"/>
  <c r="K2" i="1" s="1"/>
  <c r="J4" i="1"/>
  <c r="K3" i="1" l="1"/>
  <c r="M2" i="1" s="1"/>
  <c r="K4" i="1"/>
  <c r="K5" i="1"/>
</calcChain>
</file>

<file path=xl/sharedStrings.xml><?xml version="1.0" encoding="utf-8"?>
<sst xmlns="http://schemas.openxmlformats.org/spreadsheetml/2006/main" count="119" uniqueCount="43">
  <si>
    <t>Parameter</t>
  </si>
  <si>
    <t>Level</t>
  </si>
  <si>
    <t>Estimate</t>
  </si>
  <si>
    <t>Intercept</t>
  </si>
  <si>
    <t>region_of_country</t>
  </si>
  <si>
    <t>Mid-west</t>
  </si>
  <si>
    <t>Southeast</t>
  </si>
  <si>
    <t>Southwest</t>
  </si>
  <si>
    <t>West</t>
  </si>
  <si>
    <t>sector</t>
  </si>
  <si>
    <t>days_until_estimate_</t>
  </si>
  <si>
    <t>Accuracy2</t>
  </si>
  <si>
    <t>Cumulative</t>
  </si>
  <si>
    <t>Individual</t>
  </si>
  <si>
    <t xml:space="preserve"> - What are the constraints on days until estimate? 4-49--&gt; 1-50</t>
  </si>
  <si>
    <t>Accuracy</t>
  </si>
  <si>
    <t>Mid-West</t>
  </si>
  <si>
    <t>High Accuracy Probability</t>
  </si>
  <si>
    <t>Northeast</t>
  </si>
  <si>
    <t>Choosing an Engineering Firm</t>
  </si>
  <si>
    <t xml:space="preserve"> - The process flow of the model is shown below.</t>
  </si>
  <si>
    <t xml:space="preserve"> - Complete the form to determine which firm to use. </t>
  </si>
  <si>
    <t xml:space="preserve"> - The model calculates the firm with the highest probability of being most accurate and displays the results.</t>
  </si>
  <si>
    <t>Form Inputs</t>
  </si>
  <si>
    <t>Numerator</t>
  </si>
  <si>
    <t>Denominator</t>
  </si>
  <si>
    <t>Probability</t>
  </si>
  <si>
    <t>Summary</t>
  </si>
  <si>
    <t>Probability of Top 2 Accuracy Levels</t>
  </si>
  <si>
    <t>north</t>
  </si>
  <si>
    <t>south</t>
  </si>
  <si>
    <t>east</t>
  </si>
  <si>
    <t>west</t>
  </si>
  <si>
    <t>Transportation</t>
  </si>
  <si>
    <t>Lodging</t>
  </si>
  <si>
    <t>Multi-family Residential</t>
  </si>
  <si>
    <t>Amusement and Recreation</t>
  </si>
  <si>
    <t>Highway and Street</t>
  </si>
  <si>
    <t>Education</t>
  </si>
  <si>
    <t>Healthcare</t>
  </si>
  <si>
    <t>Manufacturing</t>
  </si>
  <si>
    <t>Power</t>
  </si>
  <si>
    <t>Military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</si>
</sst>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rgb="FFC1C1C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3" fillId="0" borderId="1" xfId="0" applyFont="1" applyBorder="1" applyAlignment="1">
      <alignment horizontal="center" vertical="top" wrapText="1"/>
    </xf>
    <xf numFmtId="0" fontId="3" fillId="0" borderId="0" xfId="0" applyFont="1" applyAlignment="1">
      <alignment horizontal="center" vertical="top" wrapText="1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0" applyFont="1" applyAlignment="1">
      <alignment vertical="top" wrapText="1"/>
    </xf>
    <xf numFmtId="0" fontId="3" fillId="0" borderId="1" xfId="0" applyFont="1" applyBorder="1" applyAlignment="1">
      <alignment vertical="top" wrapText="1"/>
    </xf>
    <xf numFmtId="0" fontId="2" fillId="0" borderId="0" xfId="0" applyFont="1"/>
    <xf numFmtId="0" fontId="1" fillId="0" borderId="0" xfId="0" applyFont="1"/>
    <xf numFmtId="0" fontId="0" fillId="0" borderId="0" xfId="0" applyFont="1"/>
    <xf numFmtId="0" fontId="3" fillId="0" borderId="2" xfId="0" applyFont="1" applyBorder="1" applyAlignment="1">
      <alignment horizontal="center" vertical="top" wrapText="1"/>
    </xf>
    <xf numFmtId="0" fontId="0" fillId="0" borderId="2" xfId="0" applyBorder="1"/>
    <xf numFmtId="0" fontId="2" fillId="0" borderId="2" xfId="0" applyFont="1" applyBorder="1"/>
    <xf numFmtId="0" fontId="2" fillId="0" borderId="2" xfId="0" applyFont="1" applyFill="1" applyBorder="1"/>
    <xf numFmtId="0" fontId="4" fillId="2" borderId="2" xfId="0" applyFont="1" applyFill="1" applyBorder="1" applyAlignment="1">
      <alignment horizontal="center" vertical="top" wrapText="1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3" borderId="0" xfId="0" applyFill="1"/>
    <xf numFmtId="0" fontId="5" fillId="3" borderId="0" xfId="0" applyFont="1" applyFill="1"/>
    <xf numFmtId="0" fontId="6" fillId="3" borderId="0" xfId="0" applyFont="1" applyFill="1"/>
    <xf numFmtId="0" fontId="4" fillId="0" borderId="2" xfId="0" applyFont="1" applyBorder="1" applyAlignment="1">
      <alignment vertical="top"/>
    </xf>
    <xf numFmtId="0" fontId="4" fillId="0" borderId="2" xfId="0" applyFont="1" applyBorder="1" applyAlignment="1">
      <alignment vertical="top" wrapText="1"/>
    </xf>
    <xf numFmtId="0" fontId="3" fillId="2" borderId="2" xfId="0" applyFont="1" applyFill="1" applyBorder="1" applyAlignment="1">
      <alignment horizontal="center" vertical="top" wrapText="1"/>
    </xf>
    <xf numFmtId="0" fontId="0" fillId="0" borderId="0" xfId="0" applyBorder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18</xdr:col>
      <xdr:colOff>531962</xdr:colOff>
      <xdr:row>14</xdr:row>
      <xdr:rowOff>76000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143000"/>
          <a:ext cx="11504762" cy="1600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15</xdr:row>
          <xdr:rowOff>171450</xdr:rowOff>
        </xdr:from>
        <xdr:to>
          <xdr:col>5</xdr:col>
          <xdr:colOff>85725</xdr:colOff>
          <xdr:row>18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Calibri"/>
                </a:rPr>
                <a:t>Click Here to Choose Firm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4"/>
  <sheetViews>
    <sheetView tabSelected="1" workbookViewId="0">
      <selection activeCell="G18" sqref="G18"/>
    </sheetView>
  </sheetViews>
  <sheetFormatPr defaultRowHeight="15" x14ac:dyDescent="0.25"/>
  <cols>
    <col min="1" max="16384" width="9.140625" style="17"/>
  </cols>
  <sheetData>
    <row r="1" spans="1:1" ht="17.25" x14ac:dyDescent="0.3">
      <c r="A1" s="18" t="s">
        <v>19</v>
      </c>
    </row>
    <row r="2" spans="1:1" ht="17.25" x14ac:dyDescent="0.3">
      <c r="A2" s="19" t="s">
        <v>21</v>
      </c>
    </row>
    <row r="3" spans="1:1" ht="17.25" x14ac:dyDescent="0.3">
      <c r="A3" s="19" t="s">
        <v>22</v>
      </c>
    </row>
    <row r="4" spans="1:1" ht="17.25" x14ac:dyDescent="0.3">
      <c r="A4" s="19" t="s">
        <v>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Button1_Click">
                <anchor moveWithCells="1" sizeWithCells="1">
                  <from>
                    <xdr:col>0</xdr:col>
                    <xdr:colOff>552450</xdr:colOff>
                    <xdr:row>15</xdr:row>
                    <xdr:rowOff>171450</xdr:rowOff>
                  </from>
                  <to>
                    <xdr:col>5</xdr:col>
                    <xdr:colOff>85725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"/>
  <sheetViews>
    <sheetView workbookViewId="0">
      <selection activeCell="M2" sqref="M2"/>
    </sheetView>
  </sheetViews>
  <sheetFormatPr defaultRowHeight="15" x14ac:dyDescent="0.25"/>
  <cols>
    <col min="1" max="1" width="21.5703125" customWidth="1"/>
    <col min="2" max="2" width="15.7109375" customWidth="1"/>
    <col min="3" max="3" width="18.5703125" customWidth="1"/>
    <col min="5" max="5" width="12" customWidth="1"/>
    <col min="6" max="6" width="15.7109375" customWidth="1"/>
    <col min="10" max="10" width="10.5703125" customWidth="1"/>
    <col min="11" max="11" width="10.85546875" customWidth="1"/>
  </cols>
  <sheetData>
    <row r="1" spans="1:13" x14ac:dyDescent="0.25">
      <c r="A1" s="10" t="s">
        <v>0</v>
      </c>
      <c r="B1" s="10" t="s">
        <v>1</v>
      </c>
      <c r="C1" s="10" t="s">
        <v>2</v>
      </c>
      <c r="E1" s="8"/>
      <c r="F1" s="7" t="s">
        <v>23</v>
      </c>
      <c r="I1" s="7" t="s">
        <v>15</v>
      </c>
      <c r="J1" s="12" t="s">
        <v>12</v>
      </c>
      <c r="K1" s="12" t="s">
        <v>13</v>
      </c>
      <c r="M1" s="13" t="s">
        <v>17</v>
      </c>
    </row>
    <row r="2" spans="1:13" ht="30" x14ac:dyDescent="0.25">
      <c r="A2" s="10" t="s">
        <v>3</v>
      </c>
      <c r="B2" s="10">
        <v>5</v>
      </c>
      <c r="C2" s="20">
        <v>-2.3258000000000001</v>
      </c>
      <c r="E2" s="10" t="s">
        <v>4</v>
      </c>
      <c r="F2" s="14" t="s">
        <v>8</v>
      </c>
      <c r="G2" s="11">
        <f>VLOOKUP(F2,B6:C10,2,0)</f>
        <v>0.99950000000000006</v>
      </c>
      <c r="H2" s="23"/>
      <c r="I2" s="11">
        <v>5</v>
      </c>
      <c r="J2" s="11">
        <f>1/(1+EXP(-($C2+(($G$2))+($G$3)+(($G$4)))))</f>
        <v>0.11605814192900415</v>
      </c>
      <c r="K2" s="11">
        <f>J2</f>
        <v>0.11605814192900415</v>
      </c>
      <c r="M2" s="11">
        <f>SUM(K2:K3)</f>
        <v>0.46737143487601157</v>
      </c>
    </row>
    <row r="3" spans="1:13" x14ac:dyDescent="0.25">
      <c r="A3" s="10" t="s">
        <v>3</v>
      </c>
      <c r="B3" s="10">
        <v>4</v>
      </c>
      <c r="C3" s="20">
        <v>-0.42620000000000002</v>
      </c>
      <c r="E3" s="10" t="s">
        <v>9</v>
      </c>
      <c r="F3" s="14" t="s">
        <v>39</v>
      </c>
      <c r="G3" s="11">
        <f>VLOOKUP(F3,B11:C20,2,0)</f>
        <v>-0.70399999999999996</v>
      </c>
      <c r="H3" s="23"/>
      <c r="I3" s="11">
        <v>4</v>
      </c>
      <c r="J3" s="11">
        <f>1/(1+EXP(-($C3+(($G$2))+($G$3)+(($G$4)))))</f>
        <v>0.46737143487601157</v>
      </c>
      <c r="K3" s="11">
        <f>J3-J2</f>
        <v>0.35131329294700742</v>
      </c>
    </row>
    <row r="4" spans="1:13" ht="30" x14ac:dyDescent="0.25">
      <c r="A4" s="10" t="s">
        <v>3</v>
      </c>
      <c r="B4" s="10">
        <v>3</v>
      </c>
      <c r="C4" s="21">
        <v>1.6598999999999999</v>
      </c>
      <c r="E4" s="10" t="s">
        <v>10</v>
      </c>
      <c r="F4" s="15"/>
      <c r="G4" s="11">
        <f>F4*C21</f>
        <v>0</v>
      </c>
      <c r="H4" s="23"/>
      <c r="I4" s="11">
        <v>3</v>
      </c>
      <c r="J4" s="11">
        <f>1/(1+EXP(-($C4+(($G$2))+($G$3)+(($G$4)))))</f>
        <v>0.87603426405577267</v>
      </c>
      <c r="K4" s="11">
        <f>J4-J3</f>
        <v>0.4086628291797611</v>
      </c>
    </row>
    <row r="5" spans="1:13" x14ac:dyDescent="0.25">
      <c r="A5" s="10" t="s">
        <v>3</v>
      </c>
      <c r="B5" s="10">
        <v>2</v>
      </c>
      <c r="C5" s="21">
        <v>3.3205</v>
      </c>
      <c r="I5" s="11">
        <v>2</v>
      </c>
      <c r="J5" s="11">
        <f>1/(1+EXP(-($C5+(($G$2))+($G$3)+(($G$4)))))</f>
        <v>0.9738141172116288</v>
      </c>
      <c r="K5" s="11">
        <f>J5-J4</f>
        <v>9.7779853155856133E-2</v>
      </c>
    </row>
    <row r="6" spans="1:13" x14ac:dyDescent="0.25">
      <c r="A6" s="10" t="s">
        <v>4</v>
      </c>
      <c r="B6" s="10" t="s">
        <v>5</v>
      </c>
      <c r="C6" s="20">
        <v>-0.4345</v>
      </c>
      <c r="I6" s="11">
        <v>1</v>
      </c>
      <c r="J6" s="16">
        <v>1</v>
      </c>
      <c r="K6" s="11">
        <f>J6-J5</f>
        <v>2.6185882788371195E-2</v>
      </c>
    </row>
    <row r="7" spans="1:13" x14ac:dyDescent="0.25">
      <c r="A7" s="10" t="s">
        <v>4</v>
      </c>
      <c r="B7" s="10" t="s">
        <v>6</v>
      </c>
      <c r="C7" s="20">
        <v>-1.1688000000000001</v>
      </c>
    </row>
    <row r="8" spans="1:13" x14ac:dyDescent="0.25">
      <c r="A8" s="10" t="s">
        <v>4</v>
      </c>
      <c r="B8" s="10" t="s">
        <v>7</v>
      </c>
      <c r="C8" s="20">
        <v>-0.56389999999999996</v>
      </c>
    </row>
    <row r="9" spans="1:13" x14ac:dyDescent="0.25">
      <c r="A9" s="10" t="s">
        <v>4</v>
      </c>
      <c r="B9" s="22" t="s">
        <v>18</v>
      </c>
      <c r="C9" s="20">
        <f>D9*C10+D9*C8+D9*C7+D11*C6</f>
        <v>1.1677</v>
      </c>
      <c r="D9">
        <v>-1</v>
      </c>
    </row>
    <row r="10" spans="1:13" x14ac:dyDescent="0.25">
      <c r="A10" s="10" t="s">
        <v>4</v>
      </c>
      <c r="B10" s="10" t="s">
        <v>8</v>
      </c>
      <c r="C10" s="21">
        <v>0.99950000000000006</v>
      </c>
      <c r="E10" s="7"/>
      <c r="F10" s="7"/>
      <c r="G10" s="7"/>
      <c r="H10" s="7"/>
    </row>
    <row r="11" spans="1:13" ht="30" x14ac:dyDescent="0.25">
      <c r="A11" s="10" t="s">
        <v>9</v>
      </c>
      <c r="B11" s="22" t="s">
        <v>33</v>
      </c>
      <c r="C11" s="21">
        <f>D11*C12+D11*C13+D11*C14+D11*C15+D11*C16+D11*C17+D11*C18+D11*C19+D11*C20</f>
        <v>0.97309999999999985</v>
      </c>
      <c r="D11">
        <v>-1</v>
      </c>
      <c r="E11" s="7"/>
      <c r="F11" s="7"/>
      <c r="G11" s="7"/>
      <c r="H11" s="7"/>
    </row>
    <row r="12" spans="1:13" x14ac:dyDescent="0.25">
      <c r="A12" s="10" t="s">
        <v>9</v>
      </c>
      <c r="B12" s="10" t="s">
        <v>34</v>
      </c>
      <c r="C12" s="20">
        <v>-0.27210000000000001</v>
      </c>
    </row>
    <row r="13" spans="1:13" ht="30" x14ac:dyDescent="0.25">
      <c r="A13" s="10" t="s">
        <v>9</v>
      </c>
      <c r="B13" s="10" t="s">
        <v>35</v>
      </c>
      <c r="C13" s="20">
        <v>-0.65049999999999997</v>
      </c>
      <c r="G13" s="9"/>
      <c r="H13" s="9"/>
    </row>
    <row r="14" spans="1:13" ht="45" x14ac:dyDescent="0.25">
      <c r="A14" s="10" t="s">
        <v>9</v>
      </c>
      <c r="B14" s="10" t="s">
        <v>36</v>
      </c>
      <c r="C14" s="21">
        <v>0.88900000000000001</v>
      </c>
    </row>
    <row r="15" spans="1:13" ht="30" x14ac:dyDescent="0.25">
      <c r="A15" s="10" t="s">
        <v>9</v>
      </c>
      <c r="B15" s="10" t="s">
        <v>37</v>
      </c>
      <c r="C15" s="20">
        <v>-0.68189999999999995</v>
      </c>
    </row>
    <row r="16" spans="1:13" x14ac:dyDescent="0.25">
      <c r="A16" s="10" t="s">
        <v>9</v>
      </c>
      <c r="B16" s="10" t="s">
        <v>38</v>
      </c>
      <c r="C16" s="20">
        <v>-0.44419999999999998</v>
      </c>
    </row>
    <row r="17" spans="1:5" x14ac:dyDescent="0.25">
      <c r="A17" s="10" t="s">
        <v>9</v>
      </c>
      <c r="B17" s="10" t="s">
        <v>39</v>
      </c>
      <c r="C17" s="20">
        <v>-0.70399999999999996</v>
      </c>
    </row>
    <row r="18" spans="1:5" x14ac:dyDescent="0.25">
      <c r="A18" s="10" t="s">
        <v>9</v>
      </c>
      <c r="B18" s="10" t="s">
        <v>40</v>
      </c>
      <c r="C18" s="20">
        <v>-0.30209999999999998</v>
      </c>
    </row>
    <row r="19" spans="1:5" x14ac:dyDescent="0.25">
      <c r="A19" s="10" t="s">
        <v>9</v>
      </c>
      <c r="B19" s="10" t="s">
        <v>41</v>
      </c>
      <c r="C19" s="21">
        <v>0.60640000000000005</v>
      </c>
      <c r="E19" s="8" t="s">
        <v>14</v>
      </c>
    </row>
    <row r="20" spans="1:5" x14ac:dyDescent="0.25">
      <c r="A20" s="10" t="s">
        <v>9</v>
      </c>
      <c r="B20" s="10" t="s">
        <v>42</v>
      </c>
      <c r="C20" s="21">
        <v>0.58630000000000004</v>
      </c>
    </row>
    <row r="21" spans="1:5" ht="30" x14ac:dyDescent="0.25">
      <c r="A21" s="10" t="s">
        <v>10</v>
      </c>
      <c r="B21" s="10"/>
      <c r="C21" s="20">
        <v>-3.4200000000000001E-2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7"/>
  <sheetViews>
    <sheetView workbookViewId="0">
      <selection activeCell="J1" sqref="J1"/>
    </sheetView>
  </sheetViews>
  <sheetFormatPr defaultRowHeight="15" x14ac:dyDescent="0.25"/>
  <cols>
    <col min="1" max="1" width="22.140625" customWidth="1"/>
    <col min="2" max="2" width="14" customWidth="1"/>
    <col min="3" max="3" width="11.85546875" customWidth="1"/>
    <col min="4" max="4" width="12.5703125" customWidth="1"/>
    <col min="5" max="5" width="12" bestFit="1" customWidth="1"/>
    <col min="6" max="7" width="16.42578125" customWidth="1"/>
    <col min="8" max="8" width="20.28515625" customWidth="1"/>
    <col min="9" max="9" width="13.42578125" customWidth="1"/>
    <col min="10" max="10" width="11.85546875" customWidth="1"/>
  </cols>
  <sheetData>
    <row r="1" spans="1:10" x14ac:dyDescent="0.25">
      <c r="A1" s="6" t="s">
        <v>0</v>
      </c>
      <c r="B1" s="5" t="s">
        <v>1</v>
      </c>
      <c r="C1" s="5" t="s">
        <v>11</v>
      </c>
      <c r="D1" s="5" t="s">
        <v>2</v>
      </c>
      <c r="E1" s="7" t="s">
        <v>24</v>
      </c>
      <c r="F1" s="7" t="s">
        <v>25</v>
      </c>
      <c r="G1" s="7" t="s">
        <v>26</v>
      </c>
      <c r="H1" s="7" t="s">
        <v>23</v>
      </c>
      <c r="I1" s="14" t="s">
        <v>18</v>
      </c>
      <c r="J1" s="11">
        <f>VLOOKUP(I1,I4:J8,2,0)</f>
        <v>0.3828563640510364</v>
      </c>
    </row>
    <row r="2" spans="1:10" x14ac:dyDescent="0.25">
      <c r="A2" s="1" t="s">
        <v>3</v>
      </c>
      <c r="B2" s="2"/>
      <c r="C2" s="2">
        <v>5</v>
      </c>
      <c r="D2" s="3">
        <v>-5.2914000000000003</v>
      </c>
      <c r="H2" s="10" t="s">
        <v>8</v>
      </c>
    </row>
    <row r="3" spans="1:10" x14ac:dyDescent="0.25">
      <c r="A3" s="1" t="s">
        <v>3</v>
      </c>
      <c r="B3" s="2"/>
      <c r="C3" s="2">
        <v>4</v>
      </c>
      <c r="D3" s="3">
        <v>-1.2071000000000001</v>
      </c>
      <c r="I3" s="7" t="s">
        <v>27</v>
      </c>
      <c r="J3" s="7" t="s">
        <v>28</v>
      </c>
    </row>
    <row r="4" spans="1:10" x14ac:dyDescent="0.25">
      <c r="A4" s="1" t="s">
        <v>3</v>
      </c>
      <c r="B4" s="2"/>
      <c r="C4" s="2">
        <v>2</v>
      </c>
      <c r="D4" s="3">
        <v>-0.4824</v>
      </c>
      <c r="H4" s="7"/>
      <c r="I4" t="s">
        <v>16</v>
      </c>
      <c r="J4">
        <f>G6+G7</f>
        <v>0.13839695464929277</v>
      </c>
    </row>
    <row r="5" spans="1:10" x14ac:dyDescent="0.25">
      <c r="A5" s="1" t="s">
        <v>3</v>
      </c>
      <c r="B5" s="2"/>
      <c r="C5" s="2">
        <v>1</v>
      </c>
      <c r="D5" s="3">
        <v>-2.2437999999999998</v>
      </c>
      <c r="I5" t="s">
        <v>6</v>
      </c>
      <c r="J5">
        <f>G10+G11</f>
        <v>0.25466463563408998</v>
      </c>
    </row>
    <row r="6" spans="1:10" x14ac:dyDescent="0.25">
      <c r="A6" s="1" t="s">
        <v>4</v>
      </c>
      <c r="B6" s="2" t="s">
        <v>5</v>
      </c>
      <c r="C6" s="2">
        <v>5</v>
      </c>
      <c r="D6" s="4">
        <v>1.9863999999999999</v>
      </c>
      <c r="E6">
        <f>(EXP(D6+D2))</f>
        <v>3.6699211836386518E-2</v>
      </c>
      <c r="F6">
        <f>1+EXP(D$2+D$6)+EXP(D$3+D$7)+EXP(D$4+D$8)+EXP(D$5+D$9)</f>
        <v>2.055018937231015</v>
      </c>
      <c r="G6">
        <f>E6/F6</f>
        <v>1.7858332675919752E-2</v>
      </c>
      <c r="I6" t="s">
        <v>7</v>
      </c>
      <c r="J6">
        <f>G14+G15</f>
        <v>0.14393611489862324</v>
      </c>
    </row>
    <row r="7" spans="1:10" x14ac:dyDescent="0.25">
      <c r="A7" s="1" t="s">
        <v>4</v>
      </c>
      <c r="B7" s="2" t="s">
        <v>5</v>
      </c>
      <c r="C7" s="2">
        <v>4</v>
      </c>
      <c r="D7" s="3">
        <v>-0.18840000000000001</v>
      </c>
      <c r="E7">
        <f>(EXP(D7+D3))</f>
        <v>0.24770915082301209</v>
      </c>
      <c r="F7">
        <f>1+EXP(D$2+D$6)+EXP(D$3+D$7)+EXP(D$4+D$8)+EXP(D$5+D$9)</f>
        <v>2.055018937231015</v>
      </c>
      <c r="G7">
        <f t="shared" ref="G7:G25" si="0">E7/F7</f>
        <v>0.12053862197337302</v>
      </c>
      <c r="I7" s="24" t="s">
        <v>8</v>
      </c>
      <c r="J7">
        <f>G18+G19</f>
        <v>5.6177985169797932E-2</v>
      </c>
    </row>
    <row r="8" spans="1:10" x14ac:dyDescent="0.25">
      <c r="A8" s="1" t="s">
        <v>4</v>
      </c>
      <c r="B8" s="2" t="s">
        <v>5</v>
      </c>
      <c r="C8" s="2">
        <v>2</v>
      </c>
      <c r="D8" s="4">
        <v>3.95E-2</v>
      </c>
      <c r="E8">
        <f t="shared" ref="E8:E9" si="1">(EXP(D8+D4))</f>
        <v>0.64217142101914704</v>
      </c>
      <c r="F8">
        <f t="shared" ref="F8:F9" si="2">1+EXP(D$2+D$6)+EXP(D$3+D$7)+EXP(D$4+D$8)+EXP(D$5+D$9)</f>
        <v>2.055018937231015</v>
      </c>
      <c r="G8">
        <f t="shared" si="0"/>
        <v>0.31248929602781433</v>
      </c>
      <c r="I8" t="s">
        <v>18</v>
      </c>
      <c r="J8">
        <f>SUM(G22:G23)</f>
        <v>0.3828563640510364</v>
      </c>
    </row>
    <row r="9" spans="1:10" x14ac:dyDescent="0.25">
      <c r="A9" s="1" t="s">
        <v>4</v>
      </c>
      <c r="B9" s="2" t="s">
        <v>5</v>
      </c>
      <c r="C9" s="2">
        <v>1</v>
      </c>
      <c r="D9" s="4">
        <v>0.1915</v>
      </c>
      <c r="E9">
        <f t="shared" si="1"/>
        <v>0.1284391535524694</v>
      </c>
      <c r="F9">
        <f t="shared" si="2"/>
        <v>2.055018937231015</v>
      </c>
      <c r="G9">
        <f t="shared" si="0"/>
        <v>6.2500228696447738E-2</v>
      </c>
    </row>
    <row r="10" spans="1:10" x14ac:dyDescent="0.25">
      <c r="A10" s="1" t="s">
        <v>4</v>
      </c>
      <c r="B10" s="2" t="s">
        <v>6</v>
      </c>
      <c r="C10" s="2">
        <v>5</v>
      </c>
      <c r="D10" s="4">
        <v>3.1873</v>
      </c>
      <c r="E10">
        <f>(EXP(D10+D2))</f>
        <v>0.12195538473822816</v>
      </c>
      <c r="F10">
        <f>1+EXP(D$2+D$10)+EXP(D$3+D$11)+EXP(D$4+D$12)+EXP(D$5+D$13)</f>
        <v>1.9634303675839684</v>
      </c>
      <c r="G10">
        <f t="shared" si="0"/>
        <v>6.2113424927972442E-2</v>
      </c>
      <c r="J10" t="b">
        <f>IF(I1=I4,J4)</f>
        <v>0</v>
      </c>
    </row>
    <row r="11" spans="1:10" x14ac:dyDescent="0.25">
      <c r="A11" s="1" t="s">
        <v>4</v>
      </c>
      <c r="B11" s="2" t="s">
        <v>6</v>
      </c>
      <c r="C11" s="2">
        <v>4</v>
      </c>
      <c r="D11" s="4">
        <v>0.2344</v>
      </c>
      <c r="E11">
        <f t="shared" ref="E11:E12" si="3">(EXP(D11+D3))</f>
        <v>0.37806089441545054</v>
      </c>
      <c r="F11">
        <f t="shared" ref="F11:F13" si="4">1+EXP(D$2+D$10)+EXP(D$3+D$11)+EXP(D$4+D$12)+EXP(D$5+D$13)</f>
        <v>1.9634303675839684</v>
      </c>
      <c r="G11">
        <f t="shared" si="0"/>
        <v>0.19255121070611755</v>
      </c>
    </row>
    <row r="12" spans="1:10" x14ac:dyDescent="0.25">
      <c r="A12" s="1" t="s">
        <v>4</v>
      </c>
      <c r="B12" s="2" t="s">
        <v>6</v>
      </c>
      <c r="C12" s="2">
        <v>2</v>
      </c>
      <c r="D12" s="3">
        <v>-0.34079999999999999</v>
      </c>
      <c r="E12">
        <f t="shared" si="3"/>
        <v>0.43902452581823015</v>
      </c>
      <c r="F12">
        <f t="shared" si="4"/>
        <v>1.9634303675839684</v>
      </c>
      <c r="G12">
        <f t="shared" si="0"/>
        <v>0.22360076174153132</v>
      </c>
    </row>
    <row r="13" spans="1:10" x14ac:dyDescent="0.25">
      <c r="A13" s="1" t="s">
        <v>4</v>
      </c>
      <c r="B13" s="2" t="s">
        <v>6</v>
      </c>
      <c r="C13" s="2">
        <v>1</v>
      </c>
      <c r="D13" s="3">
        <v>-1.4698</v>
      </c>
      <c r="E13">
        <f>(EXP(D13+D5))</f>
        <v>2.438956261205949E-2</v>
      </c>
      <c r="F13">
        <f t="shared" si="4"/>
        <v>1.9634303675839684</v>
      </c>
      <c r="G13">
        <f t="shared" si="0"/>
        <v>1.2421913715265199E-2</v>
      </c>
    </row>
    <row r="14" spans="1:10" x14ac:dyDescent="0.25">
      <c r="A14" s="1" t="s">
        <v>4</v>
      </c>
      <c r="B14" s="2" t="s">
        <v>7</v>
      </c>
      <c r="C14" s="2">
        <v>5</v>
      </c>
      <c r="D14" s="4">
        <v>1.9882</v>
      </c>
      <c r="E14">
        <f>(EXP(D14+D2))</f>
        <v>3.6765329906102887E-2</v>
      </c>
      <c r="F14">
        <f>1+EXP(D$2+D$14)+EXP(D$3+D$15)+EXP(D$4+D$16)+EXP(D$5+D$17)</f>
        <v>1.9411362301392743</v>
      </c>
      <c r="G14">
        <f t="shared" si="0"/>
        <v>1.894010803325484E-2</v>
      </c>
    </row>
    <row r="15" spans="1:10" x14ac:dyDescent="0.25">
      <c r="A15" s="1" t="s">
        <v>4</v>
      </c>
      <c r="B15" s="2" t="s">
        <v>7</v>
      </c>
      <c r="C15" s="2">
        <v>4</v>
      </c>
      <c r="D15" s="3">
        <v>-0.20910000000000001</v>
      </c>
      <c r="E15">
        <f t="shared" ref="E15:E17" si="5">(EXP(D15+D3))</f>
        <v>0.24263427754910402</v>
      </c>
      <c r="F15">
        <f t="shared" ref="F15:F17" si="6">1+EXP(D$2+D$14)+EXP(D$3+D$15)+EXP(D$4+D$16)+EXP(D$5+D$17)</f>
        <v>1.9411362301392743</v>
      </c>
      <c r="G15">
        <f t="shared" si="0"/>
        <v>0.12499600686536838</v>
      </c>
    </row>
    <row r="16" spans="1:10" x14ac:dyDescent="0.25">
      <c r="A16" s="1" t="s">
        <v>4</v>
      </c>
      <c r="B16" s="2" t="s">
        <v>7</v>
      </c>
      <c r="C16" s="2">
        <v>2</v>
      </c>
      <c r="D16" s="3">
        <v>-8.6499999999999994E-2</v>
      </c>
      <c r="E16">
        <f t="shared" si="5"/>
        <v>0.56614785895048392</v>
      </c>
      <c r="F16">
        <f t="shared" si="6"/>
        <v>1.9411362301392743</v>
      </c>
      <c r="G16">
        <f t="shared" si="0"/>
        <v>0.29165797338699068</v>
      </c>
    </row>
    <row r="17" spans="1:10" x14ac:dyDescent="0.25">
      <c r="A17" s="1" t="s">
        <v>4</v>
      </c>
      <c r="B17" s="2" t="s">
        <v>7</v>
      </c>
      <c r="C17" s="2">
        <v>1</v>
      </c>
      <c r="D17" s="3">
        <v>-0.10390000000000001</v>
      </c>
      <c r="E17">
        <f t="shared" si="5"/>
        <v>9.5588763733583493E-2</v>
      </c>
      <c r="F17">
        <f t="shared" si="6"/>
        <v>1.9411362301392743</v>
      </c>
      <c r="G17">
        <f t="shared" si="0"/>
        <v>4.9243717287542003E-2</v>
      </c>
    </row>
    <row r="18" spans="1:10" x14ac:dyDescent="0.25">
      <c r="A18" s="1" t="s">
        <v>4</v>
      </c>
      <c r="B18" s="2" t="s">
        <v>8</v>
      </c>
      <c r="C18" s="2">
        <v>5</v>
      </c>
      <c r="D18" s="3">
        <v>-11.321999999999999</v>
      </c>
      <c r="E18">
        <f>(EXP(D18+D2))</f>
        <v>6.0938541320374479E-8</v>
      </c>
      <c r="F18">
        <f>1+EXP(D$2+D$18)+EXP(D$3+D$19)+EXP(D$4+D$20)+EXP(D$5+D$21)</f>
        <v>2.4722551753667594</v>
      </c>
      <c r="G18">
        <f t="shared" si="0"/>
        <v>2.4648969057708306E-8</v>
      </c>
    </row>
    <row r="19" spans="1:10" x14ac:dyDescent="0.25">
      <c r="A19" s="1" t="s">
        <v>4</v>
      </c>
      <c r="B19" s="2" t="s">
        <v>8</v>
      </c>
      <c r="C19" s="2">
        <v>4</v>
      </c>
      <c r="D19" s="3">
        <v>-0.76700000000000002</v>
      </c>
      <c r="E19">
        <f t="shared" ref="E19:E21" si="7">(EXP(D19+D3))</f>
        <v>0.13888625363916868</v>
      </c>
      <c r="F19">
        <f t="shared" ref="F19:F21" si="8">1+EXP(D$2+D$18)+EXP(D$3+D$19)+EXP(D$4+D$20)+EXP(D$5+D$21)</f>
        <v>2.4722551753667594</v>
      </c>
      <c r="G19">
        <f t="shared" si="0"/>
        <v>5.6177960520828872E-2</v>
      </c>
    </row>
    <row r="20" spans="1:10" x14ac:dyDescent="0.25">
      <c r="A20" s="1" t="s">
        <v>4</v>
      </c>
      <c r="B20" s="2" t="s">
        <v>8</v>
      </c>
      <c r="C20" s="2">
        <v>2</v>
      </c>
      <c r="D20" s="4">
        <v>0.34360000000000002</v>
      </c>
      <c r="E20">
        <f t="shared" si="7"/>
        <v>0.87040209146966419</v>
      </c>
      <c r="F20">
        <f t="shared" si="8"/>
        <v>2.4722551753667594</v>
      </c>
      <c r="G20">
        <f t="shared" si="0"/>
        <v>0.35206806325748308</v>
      </c>
    </row>
    <row r="21" spans="1:10" x14ac:dyDescent="0.25">
      <c r="A21" s="1" t="s">
        <v>4</v>
      </c>
      <c r="B21" s="2" t="s">
        <v>8</v>
      </c>
      <c r="C21" s="2">
        <v>1</v>
      </c>
      <c r="D21" s="4">
        <v>1.4737</v>
      </c>
      <c r="E21">
        <f t="shared" si="7"/>
        <v>0.46296676931938524</v>
      </c>
      <c r="F21">
        <f t="shared" si="8"/>
        <v>2.4722551753667594</v>
      </c>
      <c r="G21">
        <f t="shared" si="0"/>
        <v>0.18726496113035906</v>
      </c>
    </row>
    <row r="22" spans="1:10" x14ac:dyDescent="0.25">
      <c r="A22" s="1" t="s">
        <v>4</v>
      </c>
      <c r="B22" s="2" t="s">
        <v>18</v>
      </c>
      <c r="C22" s="2">
        <v>5</v>
      </c>
      <c r="E22">
        <f>EXP(D2-D6-D10-D14-D18)</f>
        <v>0.32261358603376028</v>
      </c>
      <c r="F22">
        <f>1+EXP(-SUM(-D2+D6,D10,D14,D18))+EXP(-SUM(-D3+D7,D11,D15,D19))+EXP(-SUM(-D4+D8,D12,D16,D20))+EXP(-SUM(-D5+D9,D13,D17,D21))</f>
        <v>2.8226462574883855</v>
      </c>
      <c r="G22">
        <f t="shared" si="0"/>
        <v>0.114294727926986</v>
      </c>
      <c r="I22" t="s">
        <v>31</v>
      </c>
      <c r="J22" t="e">
        <f>VLOOKUP(I22,I24:J27,2)</f>
        <v>#N/A</v>
      </c>
    </row>
    <row r="23" spans="1:10" x14ac:dyDescent="0.25">
      <c r="A23" s="1" t="s">
        <v>4</v>
      </c>
      <c r="B23" s="2" t="s">
        <v>18</v>
      </c>
      <c r="C23" s="2">
        <v>4</v>
      </c>
      <c r="E23">
        <f t="shared" ref="E23:E25" si="9">EXP(D3-D7-D11-D15-D19)</f>
        <v>0.75805449711050854</v>
      </c>
      <c r="F23">
        <v>2.8226462574883855</v>
      </c>
      <c r="G23">
        <f t="shared" si="0"/>
        <v>0.26856163612405043</v>
      </c>
    </row>
    <row r="24" spans="1:10" x14ac:dyDescent="0.25">
      <c r="A24" s="1" t="s">
        <v>4</v>
      </c>
      <c r="B24" s="2" t="s">
        <v>18</v>
      </c>
      <c r="C24" s="2">
        <v>2</v>
      </c>
      <c r="E24">
        <f t="shared" si="9"/>
        <v>0.64519673060637839</v>
      </c>
      <c r="F24">
        <v>2.8226462574883855</v>
      </c>
      <c r="G24">
        <f t="shared" si="0"/>
        <v>0.22857867112986374</v>
      </c>
      <c r="I24" t="s">
        <v>29</v>
      </c>
      <c r="J24">
        <v>123</v>
      </c>
    </row>
    <row r="25" spans="1:10" x14ac:dyDescent="0.25">
      <c r="A25" s="1" t="s">
        <v>4</v>
      </c>
      <c r="B25" s="2" t="s">
        <v>18</v>
      </c>
      <c r="C25" s="2">
        <v>1</v>
      </c>
      <c r="E25">
        <f t="shared" si="9"/>
        <v>9.6781443737738393E-2</v>
      </c>
      <c r="F25">
        <v>2.8226462574883855</v>
      </c>
      <c r="G25">
        <f t="shared" si="0"/>
        <v>3.4287485894125232E-2</v>
      </c>
      <c r="I25" t="s">
        <v>30</v>
      </c>
      <c r="J25">
        <v>124</v>
      </c>
    </row>
    <row r="26" spans="1:10" x14ac:dyDescent="0.25">
      <c r="I26" t="s">
        <v>31</v>
      </c>
      <c r="J26">
        <v>234</v>
      </c>
    </row>
    <row r="27" spans="1:10" x14ac:dyDescent="0.25">
      <c r="I27" t="s">
        <v>32</v>
      </c>
      <c r="J27">
        <v>235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Engineering Firms</vt:lpstr>
      <vt:lpstr>FirmA</vt:lpstr>
      <vt:lpstr>FirmB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sneola</dc:creator>
  <cp:lastModifiedBy>sneola</cp:lastModifiedBy>
  <dcterms:created xsi:type="dcterms:W3CDTF">2013-09-05T12:11:55Z</dcterms:created>
  <dcterms:modified xsi:type="dcterms:W3CDTF">2013-09-16T13:59:17Z</dcterms:modified>
</cp:coreProperties>
</file>